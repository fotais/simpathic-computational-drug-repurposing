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PDE" sheetId="1" state="visible" r:id="rId3"/>
    <sheet name="ZELLWEGER" sheetId="2" state="visible" r:id="rId4"/>
    <sheet name="PMM2" sheetId="3" state="visible" r:id="rId5"/>
    <sheet name="CMS" sheetId="4" state="visible" r:id="rId6"/>
    <sheet name="DM1" sheetId="5" state="visible" r:id="rId7"/>
    <sheet name="SCA3" sheetId="6" state="visible" r:id="rId8"/>
    <sheet name="CNT" sheetId="7" state="visible" r:id="rId9"/>
    <sheet name="LEIGH" sheetId="8" state="hidden" r:id="rId10"/>
    <sheet name="AGGREGATED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<sst xmlns="http://schemas.openxmlformats.org/spreadsheetml/2006/main" count="430" uniqueCount="235">
  <si>
    <t xml:space="preserve">Ranked</t>
  </si>
  <si>
    <t xml:space="preserve">Drug_CUI</t>
  </si>
  <si>
    <t xml:space="preserve">Score</t>
  </si>
  <si>
    <t xml:space="preserve">Drug_Name</t>
  </si>
  <si>
    <t xml:space="preserve">Feedback* (expert #1)</t>
  </si>
  <si>
    <t xml:space="preserve">Feedback* (expert #2)</t>
  </si>
  <si>
    <t xml:space="preserve">Comments</t>
  </si>
  <si>
    <t xml:space="preserve">C0034272</t>
  </si>
  <si>
    <t xml:space="preserve">0.94211996</t>
  </si>
  <si>
    <t xml:space="preserve">Pyridoxine</t>
  </si>
  <si>
    <t xml:space="preserve">Investigated and works</t>
  </si>
  <si>
    <t xml:space="preserve">Already in use</t>
  </si>
  <si>
    <t xml:space="preserve">C0006982</t>
  </si>
  <si>
    <t xml:space="preserve">0.53051996</t>
  </si>
  <si>
    <t xml:space="preserve">Carbidopa</t>
  </si>
  <si>
    <t xml:space="preserve">Not investigated – Unknown efficacy</t>
  </si>
  <si>
    <t xml:space="preserve">C0023413</t>
  </si>
  <si>
    <t xml:space="preserve">0.46215</t>
  </si>
  <si>
    <t xml:space="preserve">Leucovorin</t>
  </si>
  <si>
    <t xml:space="preserve">C0026056</t>
  </si>
  <si>
    <t xml:space="preserve">0.39231</t>
  </si>
  <si>
    <t xml:space="preserve">Midazolam</t>
  </si>
  <si>
    <t xml:space="preserve">Not under investigation - may work</t>
  </si>
  <si>
    <t xml:space="preserve">Midazolam might be interesting as it can counteract the disrupted GABA production, but it only has a short-term effect, so I wonder whether other benzodiazepines might be more interesting? Maybe other benzodiazepines already used by PDE patients?</t>
  </si>
  <si>
    <t xml:space="preserve">C0003765</t>
  </si>
  <si>
    <t xml:space="preserve">0.38339</t>
  </si>
  <si>
    <t xml:space="preserve">Arginine</t>
  </si>
  <si>
    <t xml:space="preserve">Under investigation-could work</t>
  </si>
  <si>
    <t xml:space="preserve">Already in use. Arginine might be interesting through production of NO and thereby increasing cGMP (essential for AMPA receptor modulation)</t>
  </si>
  <si>
    <t xml:space="preserve">C0001047</t>
  </si>
  <si>
    <t xml:space="preserve">0.31512</t>
  </si>
  <si>
    <t xml:space="preserve">Acetylcysteine</t>
  </si>
  <si>
    <t xml:space="preserve">C0087163</t>
  </si>
  <si>
    <t xml:space="preserve">0.28704</t>
  </si>
  <si>
    <t xml:space="preserve">Levocarnitine</t>
  </si>
  <si>
    <t xml:space="preserve">Not under investigation - not likely to work</t>
  </si>
  <si>
    <t xml:space="preserve">Levocarnitine is synthesized from lysine, and I think PDE patients have increased levels of lysine because of a shortage of ATQ?</t>
  </si>
  <si>
    <t xml:space="preserve">C0006463</t>
  </si>
  <si>
    <t xml:space="preserve">0.27573</t>
  </si>
  <si>
    <t xml:space="preserve">Busulfan</t>
  </si>
  <si>
    <t xml:space="preserve">C0002598</t>
  </si>
  <si>
    <t xml:space="preserve">0.26468998</t>
  </si>
  <si>
    <t xml:space="preserve">Amiodarone</t>
  </si>
  <si>
    <t xml:space="preserve">C0035527</t>
  </si>
  <si>
    <t xml:space="preserve">0.25116</t>
  </si>
  <si>
    <t xml:space="preserve">Riboflavin</t>
  </si>
  <si>
    <t xml:space="preserve">*Please fill in this column by selecting one of the choices of the drop-down list  appearing near each candidate drug!</t>
  </si>
  <si>
    <t xml:space="preserve">Rank</t>
  </si>
  <si>
    <t xml:space="preserve">C0055568</t>
  </si>
  <si>
    <t xml:space="preserve">0.79507</t>
  </si>
  <si>
    <t xml:space="preserve">Cholic Acid</t>
  </si>
  <si>
    <t xml:space="preserve">Investigated-Does not work</t>
  </si>
  <si>
    <t xml:space="preserve">Cholic Acid therapy (proposed by Heubi et al papers)</t>
  </si>
  <si>
    <t xml:space="preserve">C2348308</t>
  </si>
  <si>
    <t xml:space="preserve">0.55602</t>
  </si>
  <si>
    <t xml:space="preserve">Doconexent</t>
  </si>
  <si>
    <t xml:space="preserve">Treats a symptom</t>
  </si>
  <si>
    <t xml:space="preserve">C0042878</t>
  </si>
  <si>
    <t xml:space="preserve">0.40512002</t>
  </si>
  <si>
    <t xml:space="preserve">Phylloquinone</t>
  </si>
  <si>
    <t xml:space="preserve">C0024027</t>
  </si>
  <si>
    <t xml:space="preserve">0.39545998</t>
  </si>
  <si>
    <t xml:space="preserve">Lovastatin</t>
  </si>
  <si>
    <t xml:space="preserve">C0041485</t>
  </si>
  <si>
    <t xml:space="preserve">0.38174</t>
  </si>
  <si>
    <t xml:space="preserve">Tyrosine</t>
  </si>
  <si>
    <t xml:space="preserve">C0281398</t>
  </si>
  <si>
    <t xml:space="preserve">0.35451</t>
  </si>
  <si>
    <t xml:space="preserve">Phenylbutyric acid</t>
  </si>
  <si>
    <t xml:space="preserve">Some improvement in cell lines, not in animals/patients</t>
  </si>
  <si>
    <t xml:space="preserve">C0037494</t>
  </si>
  <si>
    <t xml:space="preserve">0.2826</t>
  </si>
  <si>
    <t xml:space="preserve">Sodium chloride</t>
  </si>
  <si>
    <t xml:space="preserve">C0039350</t>
  </si>
  <si>
    <t xml:space="preserve">Taurine</t>
  </si>
  <si>
    <t xml:space="preserve">Drug_name</t>
  </si>
  <si>
    <t xml:space="preserve">C0095278</t>
  </si>
  <si>
    <t xml:space="preserve">0.84391</t>
  </si>
  <si>
    <t xml:space="preserve">Epalrestat</t>
  </si>
  <si>
    <t xml:space="preserve">C0020268</t>
  </si>
  <si>
    <t xml:space="preserve">0.38463</t>
  </si>
  <si>
    <t xml:space="preserve">Hydrocortisone</t>
  </si>
  <si>
    <t xml:space="preserve">C0041249</t>
  </si>
  <si>
    <t xml:space="preserve">0.38033998</t>
  </si>
  <si>
    <t xml:space="preserve">Tryptophan</t>
  </si>
  <si>
    <t xml:space="preserve">C0032483</t>
  </si>
  <si>
    <t xml:space="preserve">0.36825</t>
  </si>
  <si>
    <t xml:space="preserve">Polyethylene glycol</t>
  </si>
  <si>
    <t xml:space="preserve">C0041942</t>
  </si>
  <si>
    <t xml:space="preserve">Urea</t>
  </si>
  <si>
    <t xml:space="preserve">C0393022</t>
  </si>
  <si>
    <t xml:space="preserve">Rituximab</t>
  </si>
  <si>
    <t xml:space="preserve">0.32994</t>
  </si>
  <si>
    <t xml:space="preserve">C0017797</t>
  </si>
  <si>
    <t xml:space="preserve">0.32292</t>
  </si>
  <si>
    <t xml:space="preserve">L-Glutamine</t>
  </si>
  <si>
    <t xml:space="preserve">C0023570</t>
  </si>
  <si>
    <t xml:space="preserve">0.30466998</t>
  </si>
  <si>
    <t xml:space="preserve">Levodopa</t>
  </si>
  <si>
    <t xml:space="preserve">C0001927</t>
  </si>
  <si>
    <t xml:space="preserve">Salbutamol</t>
  </si>
  <si>
    <t xml:space="preserve">Already used</t>
  </si>
  <si>
    <t xml:space="preserve">C0034261</t>
  </si>
  <si>
    <t xml:space="preserve">0.80156004</t>
  </si>
  <si>
    <t xml:space="preserve">Pyridostigmine</t>
  </si>
  <si>
    <t xml:space="preserve">C0014479</t>
  </si>
  <si>
    <t xml:space="preserve">0.56277</t>
  </si>
  <si>
    <t xml:space="preserve">Ephedrine</t>
  </si>
  <si>
    <t xml:space="preserve">Previously used</t>
  </si>
  <si>
    <t xml:space="preserve">C0649350</t>
  </si>
  <si>
    <t xml:space="preserve">0.44972998</t>
  </si>
  <si>
    <t xml:space="preserve">Rivastigmine</t>
  </si>
  <si>
    <t xml:space="preserve">Works similar to AChEi - so could help the subforms that pyridostigmine helps - but no significant evidence that it works better than pyridostigmine.</t>
  </si>
  <si>
    <t xml:space="preserve">C0016365</t>
  </si>
  <si>
    <t xml:space="preserve">0.40282</t>
  </si>
  <si>
    <t xml:space="preserve">Fluoxetine</t>
  </si>
  <si>
    <t xml:space="preserve">C0010654</t>
  </si>
  <si>
    <t xml:space="preserve">Cysteine</t>
  </si>
  <si>
    <t xml:space="preserve">Not used - not sure woudl be of benefit</t>
  </si>
  <si>
    <t xml:space="preserve">C0034414</t>
  </si>
  <si>
    <t xml:space="preserve">0.33402</t>
  </si>
  <si>
    <t xml:space="preserve">Quinidine</t>
  </si>
  <si>
    <t xml:space="preserve">Potentialy for Slow channel versions of CMSbut not used due to cardiac risk</t>
  </si>
  <si>
    <t xml:space="preserve">C0001041</t>
  </si>
  <si>
    <t xml:space="preserve">Acetylcholine</t>
  </si>
  <si>
    <t xml:space="preserve">Maybe there is a relation with the feedback for Donepezil? "Donepezil is an acetylcholine esterase inhibitor – other types of which are used to treat CMS.G10"</t>
  </si>
  <si>
    <t xml:space="preserve">C0017890</t>
  </si>
  <si>
    <t xml:space="preserve">0.23634</t>
  </si>
  <si>
    <t xml:space="preserve">Glycine</t>
  </si>
  <si>
    <t xml:space="preserve">0.21528</t>
  </si>
  <si>
    <t xml:space="preserve">C0066677</t>
  </si>
  <si>
    <t xml:space="preserve">0.57278997</t>
  </si>
  <si>
    <t xml:space="preserve">Modafinil</t>
  </si>
  <si>
    <t xml:space="preserve">Has been used for daytime sleepiness</t>
  </si>
  <si>
    <t xml:space="preserve">C0031507</t>
  </si>
  <si>
    <t xml:space="preserve">0.56268</t>
  </si>
  <si>
    <t xml:space="preserve">Phenytoin</t>
  </si>
  <si>
    <t xml:space="preserve">Has been used in teh past to help with myotonia - but there are better options today</t>
  </si>
  <si>
    <t xml:space="preserve">C0074414</t>
  </si>
  <si>
    <t xml:space="preserve">0.49452</t>
  </si>
  <si>
    <t xml:space="preserve">Sevoflurane</t>
  </si>
  <si>
    <t xml:space="preserve">Used as an anesthetic alternative for DM1 patients who have increased risk to other anesthetics.</t>
  </si>
  <si>
    <t xml:space="preserve">C0025887</t>
  </si>
  <si>
    <t xml:space="preserve">0.48048002</t>
  </si>
  <si>
    <t xml:space="preserve">Mexiletine</t>
  </si>
  <si>
    <t xml:space="preserve">Used for myotonia</t>
  </si>
  <si>
    <t xml:space="preserve">C0033487</t>
  </si>
  <si>
    <t xml:space="preserve">0.45147</t>
  </si>
  <si>
    <t xml:space="preserve">Propofol</t>
  </si>
  <si>
    <t xml:space="preserve">Used as a potential anesthetic alternative</t>
  </si>
  <si>
    <t xml:space="preserve">C0071097</t>
  </si>
  <si>
    <t xml:space="preserve">Pioglitazone</t>
  </si>
  <si>
    <t xml:space="preserve">May be of use for T2D but its not standard practice and should be cautious</t>
  </si>
  <si>
    <t xml:space="preserve">C0246631</t>
  </si>
  <si>
    <t xml:space="preserve">Remifentanil</t>
  </si>
  <si>
    <t xml:space="preserve">C0209337</t>
  </si>
  <si>
    <t xml:space="preserve">0.31406</t>
  </si>
  <si>
    <t xml:space="preserve">Rocuronium</t>
  </si>
  <si>
    <t xml:space="preserve">Not for DM1 treatment but use in anesthetics</t>
  </si>
  <si>
    <t xml:space="preserve">C0017687</t>
  </si>
  <si>
    <t xml:space="preserve">Glucagon</t>
  </si>
  <si>
    <t xml:space="preserve">Does not affect myotonia, weakness, or fatigue but could be useful if DM1 patient is diabetic and hypoglycemic</t>
  </si>
  <si>
    <t xml:space="preserve">C0039925</t>
  </si>
  <si>
    <t xml:space="preserve">Thiopental</t>
  </si>
  <si>
    <t xml:space="preserve">C0048897</t>
  </si>
  <si>
    <t xml:space="preserve">0.64093</t>
  </si>
  <si>
    <t xml:space="preserve">Sapropterin</t>
  </si>
  <si>
    <t xml:space="preserve">Not under investigation, no comment on possible effectiveness</t>
  </si>
  <si>
    <t xml:space="preserve">C0073379</t>
  </si>
  <si>
    <t xml:space="preserve">0.48399</t>
  </si>
  <si>
    <t xml:space="preserve">Riluzole</t>
  </si>
  <si>
    <t xml:space="preserve">Divergence in trial results, not prescribed in ataxia field. Troriluzole has been trialed recently, with posthoc effects in SCA3 but no paper yet</t>
  </si>
  <si>
    <t xml:space="preserve">C0085217</t>
  </si>
  <si>
    <t xml:space="preserve">0.40872002</t>
  </si>
  <si>
    <t xml:space="preserve">Lithium carbonate</t>
  </si>
  <si>
    <t xml:space="preserve">0.381</t>
  </si>
  <si>
    <t xml:space="preserve">This drug used for comorbidities should not be candidate: levodopa/carbidopa and baclofen (parkinsonism and spasticity)</t>
  </si>
  <si>
    <t xml:space="preserve">C0080356</t>
  </si>
  <si>
    <t xml:space="preserve">Valproic acid</t>
  </si>
  <si>
    <t xml:space="preserve">Has been trialed, consider alternatives like sodium valproate etc. as well</t>
  </si>
  <si>
    <t xml:space="preserve">C0056077</t>
  </si>
  <si>
    <t xml:space="preserve">0.34605</t>
  </si>
  <si>
    <t xml:space="preserve">Ubidecarenone</t>
  </si>
  <si>
    <t xml:space="preserve">C0073096</t>
  </si>
  <si>
    <t xml:space="preserve">0.30795</t>
  </si>
  <si>
    <t xml:space="preserve">Resveratrol</t>
  </si>
  <si>
    <t xml:space="preserve">C0006462</t>
  </si>
  <si>
    <t xml:space="preserve">Buspirone</t>
  </si>
  <si>
    <t xml:space="preserve">C0000578</t>
  </si>
  <si>
    <t xml:space="preserve">Oxitriptan</t>
  </si>
  <si>
    <t xml:space="preserve">0.64854</t>
  </si>
  <si>
    <t xml:space="preserve">0.53109</t>
  </si>
  <si>
    <t xml:space="preserve">0.42114997</t>
  </si>
  <si>
    <t xml:space="preserve">Under investigation - not likely to work</t>
  </si>
  <si>
    <t xml:space="preserve">0.41574</t>
  </si>
  <si>
    <t xml:space="preserve">C0699376</t>
  </si>
  <si>
    <t xml:space="preserve">0.41451</t>
  </si>
  <si>
    <t xml:space="preserve">Folic acid</t>
  </si>
  <si>
    <t xml:space="preserve">C0042845</t>
  </si>
  <si>
    <t xml:space="preserve">0.31094998</t>
  </si>
  <si>
    <t xml:space="preserve">Cyanocobalamin</t>
  </si>
  <si>
    <t xml:space="preserve">0.30459</t>
  </si>
  <si>
    <t xml:space="preserve">C2983812</t>
  </si>
  <si>
    <t xml:space="preserve">0.20817</t>
  </si>
  <si>
    <t xml:space="preserve">Mirabegron</t>
  </si>
  <si>
    <t xml:space="preserve">C0025853</t>
  </si>
  <si>
    <t xml:space="preserve">Metoclopramide</t>
  </si>
  <si>
    <t xml:space="preserve">C0107994</t>
  </si>
  <si>
    <t xml:space="preserve">0.18504</t>
  </si>
  <si>
    <t xml:space="preserve">Cabergoline</t>
  </si>
  <si>
    <t xml:space="preserve">0.16191</t>
  </si>
  <si>
    <t xml:space="preserve">C0123163</t>
  </si>
  <si>
    <t xml:space="preserve">0.13878</t>
  </si>
  <si>
    <t xml:space="preserve">Idebenone</t>
  </si>
  <si>
    <t xml:space="preserve">Werner: Used for LHON, CoQ variant</t>
  </si>
  <si>
    <t xml:space="preserve">C0008864</t>
  </si>
  <si>
    <t xml:space="preserve">0.11565</t>
  </si>
  <si>
    <t xml:space="preserve">Citrulline</t>
  </si>
  <si>
    <t xml:space="preserve">C0003596</t>
  </si>
  <si>
    <t xml:space="preserve">0.09252</t>
  </si>
  <si>
    <t xml:space="preserve">Apomorphine</t>
  </si>
  <si>
    <t xml:space="preserve">C0050393</t>
  </si>
  <si>
    <t xml:space="preserve">0.06939</t>
  </si>
  <si>
    <t xml:space="preserve">Acarbose</t>
  </si>
  <si>
    <t xml:space="preserve">Werner: Works in NDUFS4-KO (LS) mice, targets gut microbiota no further follow up</t>
  </si>
  <si>
    <t xml:space="preserve">C0039840</t>
  </si>
  <si>
    <t xml:space="preserve">0.04626</t>
  </si>
  <si>
    <t xml:space="preserve">Thiamine</t>
  </si>
  <si>
    <t xml:space="preserve">C0299792</t>
  </si>
  <si>
    <t xml:space="preserve">0.02313</t>
  </si>
  <si>
    <t xml:space="preserve">Aripiprazole</t>
  </si>
  <si>
    <t xml:space="preserve">Answers</t>
  </si>
  <si>
    <t xml:space="preserve">COUNT</t>
  </si>
  <si>
    <t xml:space="preserve">PERCENTAGE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</si>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</sst>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9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b val="true"/>
      <sz val="11"/>
      <color rgb="FFFF0000"/>
      <name val="Aptos Narrow"/>
      <family val="0"/>
      <charset val="1"/>
    </font>
    <font>
      <sz val="10"/>
      <color rgb="FF000000"/>
      <name val="Helvetica Neue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DE06B"/>
        <bgColor rgb="FFFFD320"/>
      </patternFill>
    </fill>
    <fill>
      <patternFill patternType="solid">
        <fgColor rgb="FFE12839"/>
        <bgColor rgb="FFFC474E"/>
      </patternFill>
    </fill>
    <fill>
      <patternFill patternType="solid">
        <fgColor rgb="FFDC6F67"/>
        <bgColor rgb="FFFC5A5A"/>
      </patternFill>
    </fill>
    <fill>
      <patternFill patternType="solid">
        <fgColor rgb="FF88B787"/>
        <bgColor rgb="FF9A9C93"/>
      </patternFill>
    </fill>
    <fill>
      <patternFill patternType="solid">
        <fgColor rgb="FF3AA462"/>
        <bgColor rgb="FF579D1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84B"/>
      <rgbColor rgb="FF0000FF"/>
      <rgbColor rgb="FFFFFF00"/>
      <rgbColor rgb="FFFF00FF"/>
      <rgbColor rgb="FF00FFFF"/>
      <rgbColor rgb="FF7E0021"/>
      <rgbColor rgb="FF00A521"/>
      <rgbColor rgb="FF000080"/>
      <rgbColor rgb="FF579D1C"/>
      <rgbColor rgb="FF800080"/>
      <rgbColor rgb="FF006D47"/>
      <rgbColor rgb="FF88B787"/>
      <rgbColor rgb="FF808080"/>
      <rgbColor rgb="FF9999FF"/>
      <rgbColor rgb="FFE12839"/>
      <rgbColor rgb="FFFFFFCC"/>
      <rgbColor rgb="FFCCFFFF"/>
      <rgbColor rgb="FF660066"/>
      <rgbColor rgb="FFFD8C95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DC6F67"/>
      <rgbColor rgb="FFCC99FF"/>
      <rgbColor rgb="FFFDE06B"/>
      <rgbColor rgb="FF3366FF"/>
      <rgbColor rgb="FF56FF79"/>
      <rgbColor rgb="FFAECF00"/>
      <rgbColor rgb="FFFFD320"/>
      <rgbColor rgb="FFFC5A5A"/>
      <rgbColor rgb="FFFF420E"/>
      <rgbColor rgb="FF666699"/>
      <rgbColor rgb="FF9A9C93"/>
      <rgbColor rgb="FF004586"/>
      <rgbColor rgb="FF3AA462"/>
      <rgbColor rgb="FF003300"/>
      <rgbColor rgb="FF314004"/>
      <rgbColor rgb="FFFE010F"/>
      <rgbColor rgb="FFFC474E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fc5a5a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fe010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c474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d8c9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6ff79"/>
              </a:solidFill>
              <a:ln w="0">
                <a:noFill/>
              </a:ln>
            </c:spPr>
          </c:dPt>
          <c:dPt>
            <c:idx val="4"/>
            <c:spPr>
              <a:solidFill>
                <a:srgbClr val="00f84b"/>
              </a:solidFill>
              <a:ln w="0">
                <a:noFill/>
              </a:ln>
            </c:spPr>
          </c:dPt>
          <c:dPt>
            <c:idx val="5"/>
            <c:spPr>
              <a:solidFill>
                <a:srgbClr val="00a521"/>
              </a:solidFill>
              <a:ln w="0">
                <a:noFill/>
              </a:ln>
            </c:spPr>
          </c:dPt>
          <c:dPt>
            <c:idx val="6"/>
            <c:spPr>
              <a:solidFill>
                <a:srgbClr val="006d47"/>
              </a:solidFill>
              <a:ln w="0">
                <a:noFill/>
              </a:ln>
            </c:spPr>
          </c:dPt>
          <c:dPt>
            <c:idx val="7"/>
            <c:spPr>
              <a:solidFill>
                <a:srgbClr val="9a9c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AGGREGATED!$A$3:$A$10</c:f>
              <c:strCache>
                <c:ptCount val="8"/>
                <c:pt idx="0">
                  <c:v>Not under investigation - not likely to work</c:v>
                </c:pt>
                <c:pt idx="1">
                  <c:v>Investigated-Does not work</c:v>
                </c:pt>
                <c:pt idx="2">
                  <c:v>Under investigation - not likely to work</c:v>
                </c:pt>
                <c:pt idx="3">
                  <c:v>Treats a symptom</c:v>
                </c:pt>
                <c:pt idx="4">
                  <c:v>Not under investigation - may work</c:v>
                </c:pt>
                <c:pt idx="5">
                  <c:v>Under investigation-could work</c:v>
                </c:pt>
                <c:pt idx="6">
                  <c:v>Investigated and works</c:v>
                </c:pt>
                <c:pt idx="7">
                  <c:v>Not investigated – Unknown efficacy</c:v>
                </c:pt>
              </c:strCache>
            </c:strRef>
          </c:cat>
          <c:val>
            <c:numRef>
              <c:f>AGGREGATED!$B$3:$B$10</c:f>
              <c:numCache>
                <c:formatCode>General</c:formatCode>
                <c:ptCount val="8"/>
                <c:pt idx="0">
                  <c:v>14</c:v>
                </c:pt>
                <c:pt idx="1">
                  <c:v>4</c:v>
                </c:pt>
                <c:pt idx="2">
                  <c:v>2</c:v>
                </c:pt>
                <c:pt idx="3">
                  <c:v>13</c:v>
                </c:pt>
                <c:pt idx="4">
                  <c:v>9</c:v>
                </c:pt>
                <c:pt idx="5">
                  <c:v>2</c:v>
                </c:pt>
                <c:pt idx="6">
                  <c:v>14</c:v>
                </c:pt>
                <c:pt idx="7">
                  <c:v>12</c:v>
                </c:pt>
              </c:numCache>
            </c:numRef>
          </c:val>
        </c:ser>
        <c:ser>
          <c:idx val="1"/>
          <c:order val="1"/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AGGREGATED!$A$3:$A$10</c:f>
              <c:strCache>
                <c:ptCount val="8"/>
                <c:pt idx="0">
                  <c:v>Not under investigation - not likely to work</c:v>
                </c:pt>
                <c:pt idx="1">
                  <c:v>Investigated-Does not work</c:v>
                </c:pt>
                <c:pt idx="2">
                  <c:v>Under investigation - not likely to work</c:v>
                </c:pt>
                <c:pt idx="3">
                  <c:v>Treats a symptom</c:v>
                </c:pt>
                <c:pt idx="4">
                  <c:v>Not under investigation - may work</c:v>
                </c:pt>
                <c:pt idx="5">
                  <c:v>Under investigation-could work</c:v>
                </c:pt>
                <c:pt idx="6">
                  <c:v>Investigated and works</c:v>
                </c:pt>
                <c:pt idx="7">
                  <c:v>Not investigated – Unknown efficacy</c:v>
                </c:pt>
              </c:strCache>
            </c:strRef>
          </c:cat>
          <c:val>
            <c:numRef>
              <c:f>AGGREGATED!$C$3:$C$10</c:f>
              <c:numCache>
                <c:formatCode>0.00%</c:formatCode>
                <c:ptCount val="8"/>
                <c:pt idx="0">
                  <c:v>0.2</c:v>
                </c:pt>
                <c:pt idx="1">
                  <c:v>0.0571428571428571</c:v>
                </c:pt>
                <c:pt idx="2">
                  <c:v>0.0285714285714286</c:v>
                </c:pt>
                <c:pt idx="3">
                  <c:v>0.185714285714286</c:v>
                </c:pt>
                <c:pt idx="4">
                  <c:v>0.128571428571429</c:v>
                </c:pt>
                <c:pt idx="5">
                  <c:v>0.0285714285714286</c:v>
                </c:pt>
                <c:pt idx="6">
                  <c:v>0.2</c:v>
                </c:pt>
                <c:pt idx="7">
                  <c:v>0.171428571428571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2</xdr:row>
      <xdr:rowOff>36000</xdr:rowOff>
    </xdr:from>
    <xdr:to>
      <xdr:col>10</xdr:col>
      <xdr:colOff>106560</xdr:colOff>
      <xdr:row>21</xdr:row>
      <xdr:rowOff>72720</xdr:rowOff>
    </xdr:to>
    <xdr:graphicFrame>
      <xdr:nvGraphicFramePr>
        <xdr:cNvPr id="0" name=""/>
        <xdr:cNvGraphicFramePr/>
      </xdr:nvGraphicFramePr>
      <xdr:xfrm>
        <a:off x="5679000" y="386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7.62109375" defaultRowHeight="15" zeroHeight="false" outlineLevelRow="0" outlineLevelCol="0"/>
  <cols>
    <col collapsed="false" customWidth="false" hidden="false" outlineLevel="0" max="1" min="1" style="1" width="7.62"/>
    <col collapsed="false" customWidth="true" hidden="false" outlineLevel="0" max="2" min="2" style="1" width="14.29"/>
    <col collapsed="false" customWidth="true" hidden="false" outlineLevel="0" max="4" min="3" style="1" width="11.31"/>
    <col collapsed="false" customWidth="true" hidden="false" outlineLevel="0" max="5" min="5" style="1" width="29.39"/>
    <col collapsed="false" customWidth="true" hidden="false" outlineLevel="0" max="6" min="6" style="1" width="52.02"/>
    <col collapsed="false" customWidth="false" hidden="false" outlineLevel="0" max="7" min="7" style="2" width="7.62"/>
    <col collapsed="false" customWidth="false" hidden="false" outlineLevel="0" max="16384" min="8" style="1" width="7.62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</row>
    <row r="2" customFormat="false" ht="15" hidden="false" customHeight="false" outlineLevel="0" collapsed="false">
      <c r="A2" s="3" t="n">
        <v>1</v>
      </c>
      <c r="B2" s="3" t="s">
        <v>7</v>
      </c>
      <c r="C2" s="3" t="s">
        <v>8</v>
      </c>
      <c r="D2" s="3" t="s">
        <v>9</v>
      </c>
      <c r="E2" s="6" t="s">
        <v>10</v>
      </c>
      <c r="F2" s="6"/>
      <c r="G2" s="2" t="s">
        <v>11</v>
      </c>
    </row>
    <row r="3" customFormat="false" ht="15" hidden="false" customHeight="false" outlineLevel="0" collapsed="false">
      <c r="A3" s="3" t="n">
        <v>2</v>
      </c>
      <c r="B3" s="3" t="s">
        <v>12</v>
      </c>
      <c r="C3" s="3" t="s">
        <v>13</v>
      </c>
      <c r="D3" s="3" t="s">
        <v>14</v>
      </c>
      <c r="E3" s="1" t="s">
        <v>15</v>
      </c>
      <c r="F3" s="6"/>
    </row>
    <row r="4" customFormat="false" ht="15" hidden="false" customHeight="false" outlineLevel="0" collapsed="false">
      <c r="A4" s="3" t="n">
        <v>3</v>
      </c>
      <c r="B4" s="3" t="s">
        <v>16</v>
      </c>
      <c r="C4" s="3" t="s">
        <v>17</v>
      </c>
      <c r="D4" s="3" t="s">
        <v>18</v>
      </c>
      <c r="E4" s="1" t="s">
        <v>15</v>
      </c>
      <c r="F4" s="6"/>
    </row>
    <row r="5" customFormat="false" ht="15" hidden="false" customHeight="false" outlineLevel="0" collapsed="false">
      <c r="A5" s="3" t="n">
        <v>4</v>
      </c>
      <c r="B5" s="3" t="s">
        <v>19</v>
      </c>
      <c r="C5" s="3" t="s">
        <v>20</v>
      </c>
      <c r="D5" s="3" t="s">
        <v>21</v>
      </c>
      <c r="E5" s="6" t="s">
        <v>22</v>
      </c>
      <c r="F5" s="6"/>
      <c r="G5" s="2" t="s">
        <v>23</v>
      </c>
    </row>
    <row r="6" customFormat="false" ht="15" hidden="false" customHeight="false" outlineLevel="0" collapsed="false">
      <c r="A6" s="3" t="n">
        <v>5</v>
      </c>
      <c r="B6" s="3" t="s">
        <v>24</v>
      </c>
      <c r="C6" s="3" t="s">
        <v>25</v>
      </c>
      <c r="D6" s="3" t="s">
        <v>26</v>
      </c>
      <c r="E6" s="6" t="s">
        <v>27</v>
      </c>
      <c r="F6" s="6"/>
      <c r="G6" s="2" t="s">
        <v>28</v>
      </c>
    </row>
    <row r="7" customFormat="false" ht="15" hidden="false" customHeight="false" outlineLevel="0" collapsed="false">
      <c r="A7" s="3" t="n">
        <v>6</v>
      </c>
      <c r="B7" s="3" t="s">
        <v>29</v>
      </c>
      <c r="C7" s="3" t="s">
        <v>30</v>
      </c>
      <c r="D7" s="3" t="s">
        <v>31</v>
      </c>
      <c r="E7" s="1" t="s">
        <v>15</v>
      </c>
      <c r="F7" s="6"/>
    </row>
    <row r="8" customFormat="false" ht="15" hidden="false" customHeight="false" outlineLevel="0" collapsed="false">
      <c r="A8" s="3" t="n">
        <v>7</v>
      </c>
      <c r="B8" s="3" t="s">
        <v>32</v>
      </c>
      <c r="C8" s="3" t="s">
        <v>33</v>
      </c>
      <c r="D8" s="3" t="s">
        <v>34</v>
      </c>
      <c r="E8" s="6" t="s">
        <v>35</v>
      </c>
      <c r="F8" s="6"/>
      <c r="G8" s="2" t="s">
        <v>36</v>
      </c>
    </row>
    <row r="9" customFormat="false" ht="15" hidden="false" customHeight="false" outlineLevel="0" collapsed="false">
      <c r="A9" s="3" t="n">
        <v>8</v>
      </c>
      <c r="B9" s="3" t="s">
        <v>37</v>
      </c>
      <c r="C9" s="3" t="s">
        <v>38</v>
      </c>
      <c r="D9" s="3" t="s">
        <v>39</v>
      </c>
      <c r="E9" s="1" t="s">
        <v>15</v>
      </c>
      <c r="F9" s="6"/>
    </row>
    <row r="10" customFormat="false" ht="15" hidden="false" customHeight="false" outlineLevel="0" collapsed="false">
      <c r="A10" s="3" t="n">
        <v>9</v>
      </c>
      <c r="B10" s="3" t="s">
        <v>40</v>
      </c>
      <c r="C10" s="3" t="s">
        <v>41</v>
      </c>
      <c r="D10" s="3" t="s">
        <v>42</v>
      </c>
      <c r="E10" s="1" t="s">
        <v>15</v>
      </c>
      <c r="F10" s="6"/>
    </row>
    <row r="11" customFormat="false" ht="15" hidden="false" customHeight="false" outlineLevel="0" collapsed="false">
      <c r="A11" s="3" t="n">
        <v>10</v>
      </c>
      <c r="B11" s="3" t="s">
        <v>43</v>
      </c>
      <c r="C11" s="3" t="s">
        <v>44</v>
      </c>
      <c r="D11" s="3" t="s">
        <v>45</v>
      </c>
      <c r="E11" s="1" t="s">
        <v>15</v>
      </c>
      <c r="F11" s="6"/>
    </row>
    <row r="14" customFormat="false" ht="15" hidden="false" customHeight="false" outlineLevel="0" collapsed="false">
      <c r="A14" s="4" t="s">
        <v>46</v>
      </c>
    </row>
  </sheetData>
  <dataValidations count="1">
    <dataValidation allowBlank="true" errorStyle="stop" operator="equal" showDropDown="false" showErrorMessage="true" showInputMessage="true" sqref="E2:F2 F3:F9 E5:E6 E8 F10:F11" type="list">
      <formula1>"Investigated-Does not work,Not under investigation - may work,Not under investigation - not likely to work,Under investigation - not likely to work,Under investigation-could work,Treats a symptom,Investigated and works"</formula1>
      <formula2>0</formula2>
    </dataValidation>
  </dataValidation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2109375" defaultRowHeight="15" zeroHeight="false" outlineLevelRow="0" outlineLevelCol="0"/>
  <cols>
    <col collapsed="false" customWidth="false" hidden="false" outlineLevel="0" max="1" min="1" style="1" width="7.62"/>
    <col collapsed="false" customWidth="true" hidden="false" outlineLevel="0" max="2" min="2" style="1" width="14.29"/>
    <col collapsed="false" customWidth="true" hidden="false" outlineLevel="0" max="4" min="3" style="1" width="11.31"/>
    <col collapsed="false" customWidth="true" hidden="false" outlineLevel="0" max="5" min="5" style="1" width="29.39"/>
    <col collapsed="false" customWidth="true" hidden="false" outlineLevel="0" max="6" min="6" style="1" width="39.64"/>
    <col collapsed="false" customWidth="true" hidden="false" outlineLevel="0" max="7" min="7" style="1" width="39.17"/>
    <col collapsed="false" customWidth="false" hidden="false" outlineLevel="0" max="16384" min="8" style="1" width="7.62"/>
  </cols>
  <sheetData>
    <row r="1" customFormat="false" ht="15" hidden="false" customHeight="false" outlineLevel="0" collapsed="false">
      <c r="A1" s="3" t="s">
        <v>47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customFormat="false" ht="15" hidden="false" customHeight="false" outlineLevel="0" collapsed="false">
      <c r="A2" s="3" t="n">
        <v>1</v>
      </c>
      <c r="B2" s="3" t="s">
        <v>48</v>
      </c>
      <c r="C2" s="3" t="s">
        <v>49</v>
      </c>
      <c r="D2" s="3" t="s">
        <v>50</v>
      </c>
      <c r="F2" s="1" t="s">
        <v>51</v>
      </c>
      <c r="G2" s="7" t="s">
        <v>52</v>
      </c>
    </row>
    <row r="3" customFormat="false" ht="15" hidden="false" customHeight="false" outlineLevel="0" collapsed="false">
      <c r="A3" s="3" t="n">
        <v>2</v>
      </c>
      <c r="B3" s="3" t="s">
        <v>53</v>
      </c>
      <c r="C3" s="3" t="s">
        <v>54</v>
      </c>
      <c r="D3" s="3" t="s">
        <v>55</v>
      </c>
      <c r="F3" s="1" t="s">
        <v>56</v>
      </c>
    </row>
    <row r="4" customFormat="false" ht="15" hidden="false" customHeight="false" outlineLevel="0" collapsed="false">
      <c r="A4" s="3" t="n">
        <v>3</v>
      </c>
      <c r="B4" s="3" t="s">
        <v>57</v>
      </c>
      <c r="C4" s="3" t="s">
        <v>58</v>
      </c>
      <c r="D4" s="3" t="s">
        <v>59</v>
      </c>
      <c r="F4" s="1" t="s">
        <v>56</v>
      </c>
    </row>
    <row r="5" customFormat="false" ht="15" hidden="false" customHeight="false" outlineLevel="0" collapsed="false">
      <c r="A5" s="3" t="n">
        <v>4</v>
      </c>
      <c r="B5" s="3" t="s">
        <v>60</v>
      </c>
      <c r="C5" s="3" t="s">
        <v>61</v>
      </c>
      <c r="D5" s="3" t="s">
        <v>62</v>
      </c>
      <c r="F5" s="1" t="s">
        <v>35</v>
      </c>
    </row>
    <row r="6" customFormat="false" ht="15" hidden="false" customHeight="false" outlineLevel="0" collapsed="false">
      <c r="A6" s="3" t="n">
        <v>5</v>
      </c>
      <c r="B6" s="3" t="s">
        <v>63</v>
      </c>
      <c r="C6" s="3" t="s">
        <v>64</v>
      </c>
      <c r="D6" s="3" t="s">
        <v>65</v>
      </c>
      <c r="F6" s="1" t="s">
        <v>35</v>
      </c>
    </row>
    <row r="7" customFormat="false" ht="15" hidden="false" customHeight="false" outlineLevel="0" collapsed="false">
      <c r="A7" s="3" t="n">
        <v>6</v>
      </c>
      <c r="B7" s="3" t="s">
        <v>66</v>
      </c>
      <c r="C7" s="3" t="s">
        <v>67</v>
      </c>
      <c r="D7" s="3" t="s">
        <v>68</v>
      </c>
      <c r="F7" s="1" t="s">
        <v>51</v>
      </c>
      <c r="G7" s="1" t="s">
        <v>69</v>
      </c>
    </row>
    <row r="8" customFormat="false" ht="15" hidden="false" customHeight="false" outlineLevel="0" collapsed="false">
      <c r="A8" s="3" t="n">
        <v>7</v>
      </c>
      <c r="B8" s="3" t="s">
        <v>29</v>
      </c>
      <c r="C8" s="3" t="s">
        <v>30</v>
      </c>
      <c r="D8" s="3" t="s">
        <v>31</v>
      </c>
      <c r="F8" s="1" t="s">
        <v>35</v>
      </c>
    </row>
    <row r="9" customFormat="false" ht="15" hidden="false" customHeight="false" outlineLevel="0" collapsed="false">
      <c r="A9" s="3" t="n">
        <v>8</v>
      </c>
      <c r="B9" s="3" t="s">
        <v>70</v>
      </c>
      <c r="C9" s="3" t="s">
        <v>71</v>
      </c>
      <c r="D9" s="3" t="s">
        <v>72</v>
      </c>
      <c r="F9" s="1" t="s">
        <v>35</v>
      </c>
    </row>
    <row r="10" customFormat="false" ht="15" hidden="false" customHeight="false" outlineLevel="0" collapsed="false">
      <c r="A10" s="3" t="n">
        <v>9</v>
      </c>
      <c r="B10" s="3" t="s">
        <v>32</v>
      </c>
      <c r="C10" s="3" t="s">
        <v>38</v>
      </c>
      <c r="D10" s="3" t="s">
        <v>34</v>
      </c>
      <c r="F10" s="1" t="s">
        <v>35</v>
      </c>
    </row>
    <row r="11" customFormat="false" ht="15" hidden="false" customHeight="false" outlineLevel="0" collapsed="false">
      <c r="A11" s="3" t="n">
        <v>10</v>
      </c>
      <c r="B11" s="3" t="s">
        <v>73</v>
      </c>
      <c r="C11" s="3" t="s">
        <v>41</v>
      </c>
      <c r="D11" s="3" t="s">
        <v>74</v>
      </c>
      <c r="F11" s="1" t="s">
        <v>35</v>
      </c>
    </row>
    <row r="14" customFormat="false" ht="15" hidden="false" customHeight="false" outlineLevel="0" collapsed="false">
      <c r="A14" s="4" t="s">
        <v>46</v>
      </c>
    </row>
  </sheetData>
  <dataValidations count="1">
    <dataValidation allowBlank="true" errorStyle="stop" operator="equal" showDropDown="false" showErrorMessage="true" showInputMessage="true" sqref="E2:F11" type="list">
      <formula1>"Investigated-Does not work,Not under investigation - may work,Not under investigation - not likely to work,Under investigation - not likely to work,Under investigation-could work,Treats a symptom,Investigated and works"</formula1>
      <formula2>0</formula2>
    </dataValidation>
  </dataValidation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7.62109375" defaultRowHeight="15" zeroHeight="false" outlineLevelRow="0" outlineLevelCol="0"/>
  <cols>
    <col collapsed="false" customWidth="false" hidden="false" outlineLevel="0" max="1" min="1" style="1" width="7.62"/>
    <col collapsed="false" customWidth="true" hidden="false" outlineLevel="0" max="2" min="2" style="1" width="14.29"/>
    <col collapsed="false" customWidth="true" hidden="false" outlineLevel="0" max="4" min="3" style="1" width="11.31"/>
    <col collapsed="false" customWidth="true" hidden="false" outlineLevel="0" max="5" min="5" style="1" width="29.39"/>
    <col collapsed="false" customWidth="true" hidden="false" outlineLevel="0" max="6" min="6" style="1" width="39.64"/>
    <col collapsed="false" customWidth="false" hidden="false" outlineLevel="0" max="16384" min="7" style="1" width="7.62"/>
  </cols>
  <sheetData>
    <row r="1" customFormat="false" ht="15" hidden="false" customHeight="false" outlineLevel="0" collapsed="false">
      <c r="A1" s="3" t="s">
        <v>47</v>
      </c>
      <c r="B1" s="3" t="s">
        <v>1</v>
      </c>
      <c r="C1" s="3" t="s">
        <v>2</v>
      </c>
      <c r="D1" s="3" t="s">
        <v>75</v>
      </c>
      <c r="E1" s="4" t="s">
        <v>4</v>
      </c>
      <c r="F1" s="4" t="s">
        <v>5</v>
      </c>
      <c r="G1" s="4" t="s">
        <v>6</v>
      </c>
    </row>
    <row r="2" customFormat="false" ht="15" hidden="false" customHeight="false" outlineLevel="0" collapsed="false">
      <c r="A2" s="3" t="n">
        <v>1</v>
      </c>
      <c r="B2" s="3" t="s">
        <v>76</v>
      </c>
      <c r="C2" s="3" t="s">
        <v>77</v>
      </c>
      <c r="D2" s="3" t="s">
        <v>78</v>
      </c>
      <c r="E2" s="6" t="s">
        <v>27</v>
      </c>
      <c r="F2" s="6"/>
    </row>
    <row r="3" customFormat="false" ht="15" hidden="false" customHeight="false" outlineLevel="0" collapsed="false">
      <c r="A3" s="3" t="n">
        <v>2</v>
      </c>
      <c r="B3" s="3" t="s">
        <v>79</v>
      </c>
      <c r="C3" s="3" t="s">
        <v>80</v>
      </c>
      <c r="D3" s="3" t="s">
        <v>81</v>
      </c>
      <c r="E3" s="6" t="s">
        <v>22</v>
      </c>
      <c r="F3" s="6"/>
    </row>
    <row r="4" customFormat="false" ht="15" hidden="false" customHeight="false" outlineLevel="0" collapsed="false">
      <c r="A4" s="3" t="n">
        <v>3</v>
      </c>
      <c r="B4" s="3" t="s">
        <v>82</v>
      </c>
      <c r="C4" s="3" t="s">
        <v>83</v>
      </c>
      <c r="D4" s="3" t="s">
        <v>84</v>
      </c>
      <c r="E4" s="6" t="s">
        <v>35</v>
      </c>
      <c r="F4" s="6"/>
    </row>
    <row r="5" customFormat="false" ht="15" hidden="false" customHeight="false" outlineLevel="0" collapsed="false">
      <c r="A5" s="3" t="n">
        <v>4</v>
      </c>
      <c r="B5" s="3" t="s">
        <v>85</v>
      </c>
      <c r="C5" s="3" t="s">
        <v>86</v>
      </c>
      <c r="D5" s="3" t="s">
        <v>87</v>
      </c>
      <c r="E5" s="6" t="s">
        <v>35</v>
      </c>
      <c r="F5" s="6"/>
    </row>
    <row r="6" customFormat="false" ht="15" hidden="false" customHeight="false" outlineLevel="0" collapsed="false">
      <c r="A6" s="3" t="n">
        <v>5</v>
      </c>
      <c r="B6" s="3" t="s">
        <v>88</v>
      </c>
      <c r="C6" s="3" t="s">
        <v>67</v>
      </c>
      <c r="D6" s="3" t="s">
        <v>89</v>
      </c>
      <c r="E6" s="6" t="s">
        <v>35</v>
      </c>
      <c r="F6" s="6"/>
    </row>
    <row r="7" customFormat="false" ht="15" hidden="false" customHeight="false" outlineLevel="0" collapsed="false">
      <c r="A7" s="3" t="n">
        <v>6</v>
      </c>
      <c r="B7" s="3" t="s">
        <v>90</v>
      </c>
      <c r="C7" s="3" t="s">
        <v>67</v>
      </c>
      <c r="D7" s="3" t="s">
        <v>91</v>
      </c>
      <c r="E7" s="6" t="s">
        <v>22</v>
      </c>
      <c r="F7" s="6"/>
    </row>
    <row r="8" customFormat="false" ht="15" hidden="false" customHeight="false" outlineLevel="0" collapsed="false">
      <c r="A8" s="3" t="n">
        <v>7</v>
      </c>
      <c r="B8" s="3" t="s">
        <v>24</v>
      </c>
      <c r="C8" s="3" t="s">
        <v>92</v>
      </c>
      <c r="D8" s="3" t="s">
        <v>26</v>
      </c>
      <c r="E8" s="6" t="s">
        <v>35</v>
      </c>
      <c r="F8" s="6"/>
    </row>
    <row r="9" customFormat="false" ht="15" hidden="false" customHeight="false" outlineLevel="0" collapsed="false">
      <c r="A9" s="3" t="n">
        <v>8</v>
      </c>
      <c r="B9" s="3" t="s">
        <v>93</v>
      </c>
      <c r="C9" s="3" t="s">
        <v>94</v>
      </c>
      <c r="D9" s="3" t="s">
        <v>95</v>
      </c>
      <c r="E9" s="6" t="s">
        <v>35</v>
      </c>
      <c r="F9" s="6"/>
    </row>
    <row r="10" customFormat="false" ht="15" hidden="false" customHeight="false" outlineLevel="0" collapsed="false">
      <c r="A10" s="3" t="n">
        <v>9</v>
      </c>
      <c r="B10" s="3" t="s">
        <v>96</v>
      </c>
      <c r="C10" s="3" t="s">
        <v>97</v>
      </c>
      <c r="D10" s="3" t="s">
        <v>98</v>
      </c>
      <c r="E10" s="6" t="s">
        <v>35</v>
      </c>
      <c r="F10" s="6"/>
    </row>
    <row r="11" customFormat="false" ht="15" hidden="false" customHeight="false" outlineLevel="0" collapsed="false">
      <c r="A11" s="3" t="n">
        <v>10</v>
      </c>
      <c r="B11" s="3" t="s">
        <v>70</v>
      </c>
      <c r="C11" s="3" t="s">
        <v>33</v>
      </c>
      <c r="D11" s="3" t="s">
        <v>72</v>
      </c>
      <c r="E11" s="6" t="s">
        <v>22</v>
      </c>
      <c r="F11" s="6"/>
    </row>
    <row r="14" customFormat="false" ht="15" hidden="false" customHeight="false" outlineLevel="0" collapsed="false">
      <c r="A14" s="4" t="s">
        <v>46</v>
      </c>
    </row>
  </sheetData>
  <dataValidations count="1">
    <dataValidation allowBlank="true" errorStyle="stop" operator="equal" showDropDown="false" showErrorMessage="true" showInputMessage="true" sqref="E2:F11" type="list">
      <formula1>"Investigated-Does not work,Not under investigation - may work,Not under investigation - not likely to work,Under investigation - not likely to work,Under investigation-could work,Treats a symptom,Investigated and works"</formula1>
      <formula2>0</formula2>
    </dataValidation>
  </dataValidation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7.62109375" defaultRowHeight="15" zeroHeight="false" outlineLevelRow="0" outlineLevelCol="0"/>
  <cols>
    <col collapsed="false" customWidth="false" hidden="false" outlineLevel="0" max="1" min="1" style="1" width="7.62"/>
    <col collapsed="false" customWidth="true" hidden="false" outlineLevel="0" max="2" min="2" style="1" width="14.29"/>
    <col collapsed="false" customWidth="true" hidden="false" outlineLevel="0" max="4" min="3" style="1" width="11.31"/>
    <col collapsed="false" customWidth="true" hidden="false" outlineLevel="0" max="5" min="5" style="1" width="29.39"/>
    <col collapsed="false" customWidth="true" hidden="false" outlineLevel="0" max="6" min="6" style="1" width="39.64"/>
    <col collapsed="false" customWidth="true" hidden="false" outlineLevel="0" max="7" min="7" style="1" width="13.21"/>
    <col collapsed="false" customWidth="false" hidden="false" outlineLevel="0" max="16384" min="8" style="1" width="7.62"/>
  </cols>
  <sheetData>
    <row r="1" customFormat="false" ht="15" hidden="false" customHeight="false" outlineLevel="0" collapsed="false">
      <c r="A1" s="3" t="s">
        <v>47</v>
      </c>
      <c r="B1" s="3" t="s">
        <v>1</v>
      </c>
      <c r="C1" s="3" t="s">
        <v>2</v>
      </c>
      <c r="D1" s="3" t="s">
        <v>75</v>
      </c>
      <c r="E1" s="4" t="s">
        <v>4</v>
      </c>
      <c r="F1" s="4" t="s">
        <v>5</v>
      </c>
      <c r="G1" s="4" t="s">
        <v>6</v>
      </c>
    </row>
    <row r="2" customFormat="false" ht="15" hidden="false" customHeight="false" outlineLevel="0" collapsed="false">
      <c r="A2" s="3" t="n">
        <v>1</v>
      </c>
      <c r="B2" s="3" t="s">
        <v>99</v>
      </c>
      <c r="C2" s="3" t="s">
        <v>8</v>
      </c>
      <c r="D2" s="3" t="s">
        <v>100</v>
      </c>
      <c r="E2" s="6" t="s">
        <v>10</v>
      </c>
      <c r="F2" s="6"/>
      <c r="G2" s="7" t="s">
        <v>101</v>
      </c>
    </row>
    <row r="3" customFormat="false" ht="15" hidden="false" customHeight="false" outlineLevel="0" collapsed="false">
      <c r="A3" s="3" t="n">
        <v>2</v>
      </c>
      <c r="B3" s="3" t="s">
        <v>102</v>
      </c>
      <c r="C3" s="3" t="s">
        <v>103</v>
      </c>
      <c r="D3" s="3" t="s">
        <v>104</v>
      </c>
      <c r="E3" s="6" t="s">
        <v>10</v>
      </c>
      <c r="F3" s="6"/>
      <c r="G3" s="7" t="s">
        <v>101</v>
      </c>
    </row>
    <row r="4" customFormat="false" ht="15" hidden="false" customHeight="false" outlineLevel="0" collapsed="false">
      <c r="A4" s="3" t="n">
        <v>3</v>
      </c>
      <c r="B4" s="3" t="s">
        <v>105</v>
      </c>
      <c r="C4" s="3" t="s">
        <v>106</v>
      </c>
      <c r="D4" s="3" t="s">
        <v>107</v>
      </c>
      <c r="E4" s="6" t="s">
        <v>10</v>
      </c>
      <c r="F4" s="6"/>
      <c r="G4" s="1" t="s">
        <v>108</v>
      </c>
    </row>
    <row r="5" customFormat="false" ht="15" hidden="false" customHeight="false" outlineLevel="0" collapsed="false">
      <c r="A5" s="3" t="n">
        <v>4</v>
      </c>
      <c r="B5" s="3" t="s">
        <v>109</v>
      </c>
      <c r="C5" s="3" t="s">
        <v>110</v>
      </c>
      <c r="D5" s="3" t="s">
        <v>111</v>
      </c>
      <c r="E5" s="6" t="s">
        <v>10</v>
      </c>
      <c r="F5" s="6"/>
      <c r="G5" s="1" t="s">
        <v>112</v>
      </c>
    </row>
    <row r="6" customFormat="false" ht="15" hidden="false" customHeight="false" outlineLevel="0" collapsed="false">
      <c r="A6" s="3" t="n">
        <v>5</v>
      </c>
      <c r="B6" s="3" t="s">
        <v>113</v>
      </c>
      <c r="C6" s="3" t="s">
        <v>114</v>
      </c>
      <c r="D6" s="3" t="s">
        <v>115</v>
      </c>
      <c r="E6" s="6" t="s">
        <v>10</v>
      </c>
      <c r="F6" s="6"/>
      <c r="G6" s="7" t="s">
        <v>101</v>
      </c>
    </row>
    <row r="7" customFormat="false" ht="15" hidden="false" customHeight="false" outlineLevel="0" collapsed="false">
      <c r="A7" s="3" t="n">
        <v>6</v>
      </c>
      <c r="B7" s="3" t="s">
        <v>116</v>
      </c>
      <c r="C7" s="3" t="s">
        <v>67</v>
      </c>
      <c r="D7" s="3" t="s">
        <v>117</v>
      </c>
      <c r="E7" s="1" t="s">
        <v>15</v>
      </c>
      <c r="F7" s="6"/>
      <c r="G7" s="1" t="s">
        <v>118</v>
      </c>
    </row>
    <row r="8" customFormat="false" ht="15" hidden="false" customHeight="false" outlineLevel="0" collapsed="false">
      <c r="A8" s="3" t="n">
        <v>7</v>
      </c>
      <c r="B8" s="3" t="s">
        <v>119</v>
      </c>
      <c r="C8" s="3" t="s">
        <v>120</v>
      </c>
      <c r="D8" s="3" t="s">
        <v>121</v>
      </c>
      <c r="E8" s="6" t="s">
        <v>35</v>
      </c>
      <c r="F8" s="6"/>
      <c r="G8" s="1" t="s">
        <v>122</v>
      </c>
    </row>
    <row r="9" customFormat="false" ht="15" hidden="false" customHeight="false" outlineLevel="0" collapsed="false">
      <c r="A9" s="3" t="n">
        <v>8</v>
      </c>
      <c r="B9" s="3" t="s">
        <v>123</v>
      </c>
      <c r="C9" s="3" t="s">
        <v>94</v>
      </c>
      <c r="D9" s="3" t="s">
        <v>124</v>
      </c>
      <c r="E9" s="6" t="s">
        <v>22</v>
      </c>
      <c r="F9" s="6"/>
      <c r="G9" s="1" t="s">
        <v>125</v>
      </c>
    </row>
    <row r="10" customFormat="false" ht="15" hidden="false" customHeight="false" outlineLevel="0" collapsed="false">
      <c r="A10" s="3" t="n">
        <v>9</v>
      </c>
      <c r="B10" s="3" t="s">
        <v>126</v>
      </c>
      <c r="C10" s="3" t="s">
        <v>127</v>
      </c>
      <c r="D10" s="3" t="s">
        <v>128</v>
      </c>
      <c r="E10" s="1" t="s">
        <v>15</v>
      </c>
      <c r="F10" s="6"/>
      <c r="G10" s="1" t="s">
        <v>118</v>
      </c>
    </row>
    <row r="11" customFormat="false" ht="15" hidden="false" customHeight="false" outlineLevel="0" collapsed="false">
      <c r="A11" s="3" t="n">
        <v>10</v>
      </c>
      <c r="B11" s="3" t="s">
        <v>96</v>
      </c>
      <c r="C11" s="3" t="s">
        <v>129</v>
      </c>
      <c r="D11" s="3" t="s">
        <v>98</v>
      </c>
      <c r="E11" s="1" t="s">
        <v>15</v>
      </c>
      <c r="F11" s="6"/>
      <c r="G11" s="1" t="s">
        <v>118</v>
      </c>
    </row>
    <row r="14" customFormat="false" ht="15" hidden="false" customHeight="false" outlineLevel="0" collapsed="false">
      <c r="A14" s="4" t="s">
        <v>46</v>
      </c>
    </row>
  </sheetData>
  <dataValidations count="1">
    <dataValidation allowBlank="true" errorStyle="stop" operator="equal" showDropDown="false" showErrorMessage="true" showInputMessage="true" sqref="E2:F6 F7:F10 E8:E9 F11" type="list">
      <formula1>"Investigated-Does not work,Not under investigation - may work,Not under investigation - not likely to work,Under investigation - not likely to work,Under investigation-could work,Treats a symptom,Investigated and works"</formula1>
      <formula2>0</formula2>
    </dataValidation>
  </dataValidation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7.62109375" defaultRowHeight="15" zeroHeight="false" outlineLevelRow="0" outlineLevelCol="0"/>
  <cols>
    <col collapsed="false" customWidth="false" hidden="false" outlineLevel="0" max="1" min="1" style="1" width="7.62"/>
    <col collapsed="false" customWidth="true" hidden="false" outlineLevel="0" max="2" min="2" style="1" width="14.29"/>
    <col collapsed="false" customWidth="true" hidden="false" outlineLevel="0" max="4" min="3" style="1" width="11.31"/>
    <col collapsed="false" customWidth="true" hidden="false" outlineLevel="0" max="5" min="5" style="1" width="16.9"/>
    <col collapsed="false" customWidth="true" hidden="false" outlineLevel="0" max="6" min="6" style="1" width="18.93"/>
    <col collapsed="false" customWidth="false" hidden="false" outlineLevel="0" max="16384" min="7" style="1" width="7.62"/>
  </cols>
  <sheetData>
    <row r="1" customFormat="false" ht="15" hidden="false" customHeight="false" outlineLevel="0" collapsed="false">
      <c r="A1" s="3" t="s">
        <v>47</v>
      </c>
      <c r="B1" s="3" t="s">
        <v>1</v>
      </c>
      <c r="C1" s="3" t="s">
        <v>2</v>
      </c>
      <c r="D1" s="3" t="s">
        <v>75</v>
      </c>
      <c r="E1" s="4" t="s">
        <v>4</v>
      </c>
      <c r="F1" s="4" t="s">
        <v>5</v>
      </c>
      <c r="G1" s="4" t="s">
        <v>6</v>
      </c>
    </row>
    <row r="2" customFormat="false" ht="15" hidden="false" customHeight="false" outlineLevel="0" collapsed="false">
      <c r="A2" s="3" t="n">
        <v>1</v>
      </c>
      <c r="B2" s="3" t="s">
        <v>130</v>
      </c>
      <c r="C2" s="3" t="s">
        <v>131</v>
      </c>
      <c r="D2" s="3" t="s">
        <v>132</v>
      </c>
      <c r="E2" s="6" t="s">
        <v>56</v>
      </c>
      <c r="F2" s="6"/>
      <c r="G2" s="1" t="s">
        <v>133</v>
      </c>
    </row>
    <row r="3" customFormat="false" ht="15" hidden="false" customHeight="false" outlineLevel="0" collapsed="false">
      <c r="A3" s="3" t="n">
        <v>2</v>
      </c>
      <c r="B3" s="3" t="s">
        <v>134</v>
      </c>
      <c r="C3" s="3" t="s">
        <v>135</v>
      </c>
      <c r="D3" s="3" t="s">
        <v>136</v>
      </c>
      <c r="E3" s="6" t="s">
        <v>10</v>
      </c>
      <c r="F3" s="6"/>
      <c r="G3" s="1" t="s">
        <v>137</v>
      </c>
    </row>
    <row r="4" customFormat="false" ht="15" hidden="false" customHeight="false" outlineLevel="0" collapsed="false">
      <c r="A4" s="3" t="n">
        <v>3</v>
      </c>
      <c r="B4" s="3" t="s">
        <v>138</v>
      </c>
      <c r="C4" s="3" t="s">
        <v>139</v>
      </c>
      <c r="D4" s="3" t="s">
        <v>140</v>
      </c>
      <c r="E4" s="6" t="s">
        <v>56</v>
      </c>
      <c r="F4" s="6"/>
      <c r="G4" s="1" t="s">
        <v>141</v>
      </c>
    </row>
    <row r="5" customFormat="false" ht="15" hidden="false" customHeight="false" outlineLevel="0" collapsed="false">
      <c r="A5" s="3" t="n">
        <v>4</v>
      </c>
      <c r="B5" s="3" t="s">
        <v>142</v>
      </c>
      <c r="C5" s="3" t="s">
        <v>143</v>
      </c>
      <c r="D5" s="3" t="s">
        <v>144</v>
      </c>
      <c r="E5" s="6" t="s">
        <v>10</v>
      </c>
      <c r="F5" s="6"/>
      <c r="G5" s="1" t="s">
        <v>145</v>
      </c>
    </row>
    <row r="6" customFormat="false" ht="15" hidden="false" customHeight="false" outlineLevel="0" collapsed="false">
      <c r="A6" s="3" t="n">
        <v>5</v>
      </c>
      <c r="B6" s="3" t="s">
        <v>146</v>
      </c>
      <c r="C6" s="3" t="s">
        <v>147</v>
      </c>
      <c r="D6" s="3" t="s">
        <v>148</v>
      </c>
      <c r="E6" s="6" t="s">
        <v>56</v>
      </c>
      <c r="F6" s="6"/>
      <c r="G6" s="1" t="s">
        <v>149</v>
      </c>
    </row>
    <row r="7" customFormat="false" ht="15" hidden="false" customHeight="false" outlineLevel="0" collapsed="false">
      <c r="A7" s="3" t="n">
        <v>6</v>
      </c>
      <c r="B7" s="3" t="s">
        <v>150</v>
      </c>
      <c r="C7" s="3" t="s">
        <v>67</v>
      </c>
      <c r="D7" s="3" t="s">
        <v>151</v>
      </c>
      <c r="E7" s="6" t="s">
        <v>56</v>
      </c>
      <c r="F7" s="6"/>
      <c r="G7" s="1" t="s">
        <v>152</v>
      </c>
    </row>
    <row r="8" customFormat="false" ht="15" hidden="false" customHeight="false" outlineLevel="0" collapsed="false">
      <c r="A8" s="3" t="n">
        <v>7</v>
      </c>
      <c r="B8" s="3" t="s">
        <v>153</v>
      </c>
      <c r="C8" s="3" t="s">
        <v>94</v>
      </c>
      <c r="D8" s="3" t="s">
        <v>154</v>
      </c>
      <c r="E8" s="6" t="s">
        <v>56</v>
      </c>
      <c r="F8" s="6"/>
      <c r="G8" s="1" t="s">
        <v>149</v>
      </c>
    </row>
    <row r="9" customFormat="false" ht="15" hidden="false" customHeight="false" outlineLevel="0" collapsed="false">
      <c r="A9" s="3" t="n">
        <v>8</v>
      </c>
      <c r="B9" s="3" t="s">
        <v>155</v>
      </c>
      <c r="C9" s="3" t="s">
        <v>156</v>
      </c>
      <c r="D9" s="3" t="s">
        <v>157</v>
      </c>
      <c r="E9" s="6" t="s">
        <v>56</v>
      </c>
      <c r="F9" s="6"/>
      <c r="G9" s="1" t="s">
        <v>158</v>
      </c>
    </row>
    <row r="10" customFormat="false" ht="15" hidden="false" customHeight="false" outlineLevel="0" collapsed="false">
      <c r="A10" s="3" t="n">
        <v>9</v>
      </c>
      <c r="B10" s="3" t="s">
        <v>159</v>
      </c>
      <c r="C10" s="3" t="s">
        <v>38</v>
      </c>
      <c r="D10" s="3" t="s">
        <v>160</v>
      </c>
      <c r="E10" s="6" t="s">
        <v>56</v>
      </c>
      <c r="F10" s="6"/>
      <c r="G10" s="1" t="s">
        <v>161</v>
      </c>
    </row>
    <row r="11" customFormat="false" ht="15" hidden="false" customHeight="false" outlineLevel="0" collapsed="false">
      <c r="A11" s="3" t="n">
        <v>10</v>
      </c>
      <c r="B11" s="3" t="s">
        <v>162</v>
      </c>
      <c r="C11" s="3" t="s">
        <v>41</v>
      </c>
      <c r="D11" s="3" t="s">
        <v>163</v>
      </c>
      <c r="E11" s="6" t="s">
        <v>56</v>
      </c>
      <c r="F11" s="6"/>
      <c r="G11" s="1" t="s">
        <v>149</v>
      </c>
    </row>
    <row r="14" customFormat="false" ht="15" hidden="false" customHeight="false" outlineLevel="0" collapsed="false">
      <c r="A14" s="4" t="s">
        <v>46</v>
      </c>
    </row>
  </sheetData>
  <dataValidations count="1">
    <dataValidation allowBlank="true" errorStyle="stop" operator="equal" showDropDown="false" showErrorMessage="true" showInputMessage="true" sqref="E2:F11" type="list">
      <formula1>"Investigated-Does not work,Not under investigation - may work,Not under investigation - not likely to work,Under investigation - not likely to work,Under investigation-could work,Treats a symptom,Investigated and works"</formula1>
      <formula2>0</formula2>
    </dataValidation>
  </dataValidation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7.62109375" defaultRowHeight="15" zeroHeight="false" outlineLevelRow="0" outlineLevelCol="0"/>
  <cols>
    <col collapsed="false" customWidth="false" hidden="false" outlineLevel="0" max="1" min="1" style="1" width="7.62"/>
    <col collapsed="false" customWidth="true" hidden="false" outlineLevel="0" max="2" min="2" style="1" width="14.29"/>
    <col collapsed="false" customWidth="true" hidden="false" outlineLevel="0" max="4" min="3" style="1" width="11.31"/>
    <col collapsed="false" customWidth="true" hidden="false" outlineLevel="0" max="5" min="5" style="1" width="29.39"/>
    <col collapsed="false" customWidth="true" hidden="false" outlineLevel="0" max="6" min="6" style="1" width="39.64"/>
    <col collapsed="false" customWidth="true" hidden="false" outlineLevel="0" max="7" min="7" style="1" width="15.6"/>
    <col collapsed="false" customWidth="false" hidden="false" outlineLevel="0" max="16384" min="8" style="1" width="7.62"/>
  </cols>
  <sheetData>
    <row r="1" customFormat="false" ht="15" hidden="false" customHeight="false" outlineLevel="0" collapsed="false">
      <c r="A1" s="3" t="s">
        <v>47</v>
      </c>
      <c r="B1" s="3" t="s">
        <v>1</v>
      </c>
      <c r="C1" s="3" t="s">
        <v>2</v>
      </c>
      <c r="D1" s="3" t="s">
        <v>75</v>
      </c>
      <c r="E1" s="4" t="s">
        <v>4</v>
      </c>
      <c r="F1" s="4" t="s">
        <v>5</v>
      </c>
      <c r="G1" s="4" t="s">
        <v>6</v>
      </c>
    </row>
    <row r="2" customFormat="false" ht="15" hidden="false" customHeight="false" outlineLevel="0" collapsed="false">
      <c r="A2" s="3" t="n">
        <v>1</v>
      </c>
      <c r="B2" s="3" t="s">
        <v>164</v>
      </c>
      <c r="C2" s="3" t="s">
        <v>165</v>
      </c>
      <c r="D2" s="3" t="s">
        <v>166</v>
      </c>
      <c r="E2" s="1" t="s">
        <v>15</v>
      </c>
      <c r="G2" s="1" t="s">
        <v>167</v>
      </c>
    </row>
    <row r="3" customFormat="false" ht="15" hidden="false" customHeight="false" outlineLevel="0" collapsed="false">
      <c r="A3" s="3" t="n">
        <v>2</v>
      </c>
      <c r="B3" s="3" t="s">
        <v>168</v>
      </c>
      <c r="C3" s="3" t="s">
        <v>169</v>
      </c>
      <c r="D3" s="3" t="s">
        <v>170</v>
      </c>
      <c r="E3" s="1" t="s">
        <v>22</v>
      </c>
      <c r="G3" s="1" t="s">
        <v>171</v>
      </c>
    </row>
    <row r="4" customFormat="false" ht="15" hidden="false" customHeight="false" outlineLevel="0" collapsed="false">
      <c r="A4" s="3" t="n">
        <v>3</v>
      </c>
      <c r="B4" s="3" t="s">
        <v>172</v>
      </c>
      <c r="C4" s="3" t="s">
        <v>173</v>
      </c>
      <c r="D4" s="3" t="s">
        <v>174</v>
      </c>
      <c r="E4" s="1" t="s">
        <v>51</v>
      </c>
    </row>
    <row r="5" customFormat="false" ht="15" hidden="false" customHeight="false" outlineLevel="0" collapsed="false">
      <c r="A5" s="3" t="n">
        <v>4</v>
      </c>
      <c r="B5" s="3" t="s">
        <v>96</v>
      </c>
      <c r="C5" s="3" t="s">
        <v>175</v>
      </c>
      <c r="D5" s="3" t="s">
        <v>98</v>
      </c>
      <c r="E5" s="1" t="s">
        <v>56</v>
      </c>
      <c r="G5" s="7" t="s">
        <v>176</v>
      </c>
    </row>
    <row r="6" customFormat="false" ht="15" hidden="false" customHeight="false" outlineLevel="0" collapsed="false">
      <c r="A6" s="3" t="n">
        <v>5</v>
      </c>
      <c r="B6" s="3" t="s">
        <v>93</v>
      </c>
      <c r="C6" s="3" t="s">
        <v>67</v>
      </c>
      <c r="D6" s="3" t="s">
        <v>95</v>
      </c>
      <c r="E6" s="1" t="s">
        <v>15</v>
      </c>
      <c r="G6" s="1" t="s">
        <v>167</v>
      </c>
    </row>
    <row r="7" customFormat="false" ht="15" hidden="false" customHeight="false" outlineLevel="0" collapsed="false">
      <c r="A7" s="3" t="n">
        <v>6</v>
      </c>
      <c r="B7" s="3" t="s">
        <v>177</v>
      </c>
      <c r="C7" s="3" t="s">
        <v>67</v>
      </c>
      <c r="D7" s="3" t="s">
        <v>178</v>
      </c>
      <c r="E7" s="1" t="s">
        <v>10</v>
      </c>
      <c r="G7" s="7" t="s">
        <v>179</v>
      </c>
    </row>
    <row r="8" customFormat="false" ht="15" hidden="false" customHeight="false" outlineLevel="0" collapsed="false">
      <c r="A8" s="3" t="n">
        <v>7</v>
      </c>
      <c r="B8" s="3" t="s">
        <v>180</v>
      </c>
      <c r="C8" s="3" t="s">
        <v>181</v>
      </c>
      <c r="D8" s="3" t="s">
        <v>182</v>
      </c>
      <c r="E8" s="1" t="s">
        <v>15</v>
      </c>
      <c r="G8" s="1" t="s">
        <v>167</v>
      </c>
    </row>
    <row r="9" customFormat="false" ht="15" hidden="false" customHeight="false" outlineLevel="0" collapsed="false">
      <c r="A9" s="3" t="n">
        <v>8</v>
      </c>
      <c r="B9" s="3" t="s">
        <v>109</v>
      </c>
      <c r="C9" s="3" t="s">
        <v>94</v>
      </c>
      <c r="D9" s="3" t="s">
        <v>111</v>
      </c>
      <c r="E9" s="1" t="s">
        <v>56</v>
      </c>
    </row>
    <row r="10" customFormat="false" ht="15" hidden="false" customHeight="false" outlineLevel="0" collapsed="false">
      <c r="A10" s="3" t="n">
        <v>9</v>
      </c>
      <c r="B10" s="3" t="s">
        <v>183</v>
      </c>
      <c r="C10" s="3" t="s">
        <v>184</v>
      </c>
      <c r="D10" s="3" t="s">
        <v>185</v>
      </c>
      <c r="E10" s="1" t="s">
        <v>22</v>
      </c>
    </row>
    <row r="11" customFormat="false" ht="15" hidden="false" customHeight="false" outlineLevel="0" collapsed="false">
      <c r="A11" s="3" t="n">
        <v>10</v>
      </c>
      <c r="B11" s="3" t="s">
        <v>186</v>
      </c>
      <c r="C11" s="3" t="s">
        <v>41</v>
      </c>
      <c r="D11" s="3" t="s">
        <v>187</v>
      </c>
      <c r="E11" s="1" t="s">
        <v>51</v>
      </c>
    </row>
    <row r="14" customFormat="false" ht="15" hidden="false" customHeight="false" outlineLevel="0" collapsed="false">
      <c r="A14" s="4" t="s">
        <v>46</v>
      </c>
    </row>
  </sheetData>
  <dataValidations count="1">
    <dataValidation allowBlank="true" errorStyle="stop" operator="equal" showDropDown="false" showErrorMessage="true" showInputMessage="true" sqref="F2:F11 E3:E5 E7 E9:E11" type="list">
      <formula1>"Investigated-Does not work,Not under investigation - may work,Not under investigation - not likely to work,Under investigation - not likely to work,Under investigation-could work,Treats a symptom,Investigated and works"</formula1>
      <formula2>0</formula2>
    </dataValidation>
  </dataValidation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7.62109375" defaultRowHeight="15" zeroHeight="false" outlineLevelRow="0" outlineLevelCol="0"/>
  <cols>
    <col collapsed="false" customWidth="false" hidden="false" outlineLevel="0" max="1" min="1" style="1" width="7.62"/>
    <col collapsed="false" customWidth="true" hidden="false" outlineLevel="0" max="2" min="2" style="1" width="14.29"/>
    <col collapsed="false" customWidth="true" hidden="false" outlineLevel="0" max="4" min="3" style="1" width="11.31"/>
    <col collapsed="false" customWidth="true" hidden="false" outlineLevel="0" max="6" min="5" style="1" width="29.39"/>
    <col collapsed="false" customWidth="true" hidden="false" outlineLevel="0" max="7" min="7" style="1" width="44.17"/>
    <col collapsed="false" customWidth="false" hidden="false" outlineLevel="0" max="16384" min="8" style="1" width="7.62"/>
  </cols>
  <sheetData>
    <row r="1" customFormat="false" ht="15" hidden="false" customHeight="false" outlineLevel="0" collapsed="false">
      <c r="A1" s="3" t="s">
        <v>47</v>
      </c>
      <c r="B1" s="3" t="s">
        <v>1</v>
      </c>
      <c r="C1" s="3" t="s">
        <v>2</v>
      </c>
      <c r="D1" s="3" t="s">
        <v>75</v>
      </c>
      <c r="E1" s="4" t="s">
        <v>4</v>
      </c>
      <c r="F1" s="4" t="s">
        <v>5</v>
      </c>
      <c r="G1" s="4" t="s">
        <v>6</v>
      </c>
    </row>
    <row r="2" customFormat="false" ht="15" hidden="false" customHeight="false" outlineLevel="0" collapsed="false">
      <c r="A2" s="3" t="n">
        <v>1</v>
      </c>
      <c r="B2" s="3" t="s">
        <v>164</v>
      </c>
      <c r="C2" s="3" t="s">
        <v>8</v>
      </c>
      <c r="D2" s="3" t="s">
        <v>166</v>
      </c>
      <c r="E2" s="8" t="s">
        <v>10</v>
      </c>
    </row>
    <row r="3" customFormat="false" ht="15" hidden="false" customHeight="false" outlineLevel="0" collapsed="false">
      <c r="A3" s="3" t="n">
        <v>2</v>
      </c>
      <c r="B3" s="3" t="s">
        <v>188</v>
      </c>
      <c r="C3" s="3" t="s">
        <v>103</v>
      </c>
      <c r="D3" s="3" t="s">
        <v>189</v>
      </c>
      <c r="E3" s="8" t="s">
        <v>10</v>
      </c>
    </row>
    <row r="4" customFormat="false" ht="15" hidden="false" customHeight="false" outlineLevel="0" collapsed="false">
      <c r="A4" s="3" t="n">
        <v>3</v>
      </c>
      <c r="B4" s="3" t="s">
        <v>63</v>
      </c>
      <c r="C4" s="3" t="s">
        <v>190</v>
      </c>
      <c r="D4" s="3" t="s">
        <v>65</v>
      </c>
      <c r="E4" s="8" t="s">
        <v>22</v>
      </c>
    </row>
    <row r="5" customFormat="false" ht="15" hidden="false" customHeight="false" outlineLevel="0" collapsed="false">
      <c r="A5" s="3" t="n">
        <v>4</v>
      </c>
      <c r="B5" s="3" t="s">
        <v>126</v>
      </c>
      <c r="C5" s="3" t="s">
        <v>191</v>
      </c>
      <c r="D5" s="3" t="s">
        <v>128</v>
      </c>
      <c r="E5" s="8" t="s">
        <v>22</v>
      </c>
    </row>
    <row r="6" customFormat="false" ht="15" hidden="false" customHeight="false" outlineLevel="0" collapsed="false">
      <c r="A6" s="3" t="n">
        <v>5</v>
      </c>
      <c r="B6" s="3" t="s">
        <v>82</v>
      </c>
      <c r="C6" s="3" t="s">
        <v>192</v>
      </c>
      <c r="D6" s="3" t="s">
        <v>84</v>
      </c>
      <c r="E6" s="8" t="s">
        <v>193</v>
      </c>
    </row>
    <row r="7" customFormat="false" ht="15" hidden="false" customHeight="false" outlineLevel="0" collapsed="false">
      <c r="A7" s="3" t="n">
        <v>6</v>
      </c>
      <c r="B7" s="3" t="s">
        <v>96</v>
      </c>
      <c r="C7" s="3" t="s">
        <v>194</v>
      </c>
      <c r="D7" s="3" t="s">
        <v>98</v>
      </c>
      <c r="E7" s="8" t="s">
        <v>10</v>
      </c>
    </row>
    <row r="8" customFormat="false" ht="15" hidden="false" customHeight="false" outlineLevel="0" collapsed="false">
      <c r="A8" s="3" t="n">
        <v>7</v>
      </c>
      <c r="B8" s="3" t="s">
        <v>195</v>
      </c>
      <c r="C8" s="3" t="s">
        <v>196</v>
      </c>
      <c r="D8" s="3" t="s">
        <v>197</v>
      </c>
      <c r="E8" s="8" t="s">
        <v>10</v>
      </c>
    </row>
    <row r="9" customFormat="false" ht="15" hidden="false" customHeight="false" outlineLevel="0" collapsed="false">
      <c r="A9" s="3" t="n">
        <v>8</v>
      </c>
      <c r="B9" s="3" t="s">
        <v>12</v>
      </c>
      <c r="C9" s="3" t="s">
        <v>67</v>
      </c>
      <c r="D9" s="3" t="s">
        <v>14</v>
      </c>
      <c r="E9" s="8" t="s">
        <v>10</v>
      </c>
    </row>
    <row r="10" customFormat="false" ht="15" hidden="false" customHeight="false" outlineLevel="0" collapsed="false">
      <c r="A10" s="3" t="n">
        <v>9</v>
      </c>
      <c r="B10" s="3" t="s">
        <v>198</v>
      </c>
      <c r="C10" s="3" t="s">
        <v>199</v>
      </c>
      <c r="D10" s="3" t="s">
        <v>200</v>
      </c>
      <c r="E10" s="8" t="s">
        <v>56</v>
      </c>
    </row>
    <row r="11" customFormat="false" ht="15" hidden="false" customHeight="false" outlineLevel="0" collapsed="false">
      <c r="A11" s="3" t="n">
        <v>10</v>
      </c>
      <c r="B11" s="3" t="s">
        <v>93</v>
      </c>
      <c r="C11" s="3" t="s">
        <v>201</v>
      </c>
      <c r="D11" s="3" t="s">
        <v>95</v>
      </c>
      <c r="E11" s="8" t="s">
        <v>193</v>
      </c>
    </row>
    <row r="14" customFormat="false" ht="15" hidden="false" customHeight="false" outlineLevel="0" collapsed="false">
      <c r="A14" s="4" t="s">
        <v>46</v>
      </c>
    </row>
  </sheetData>
  <dataValidations count="3">
    <dataValidation allowBlank="true" errorStyle="stop" operator="equal" showDropDown="false" showErrorMessage="true" showInputMessage="true" sqref="F2" type="list">
      <formula1>"Investigated-Does not work,Not under investigation - may work,Not under investigation - not likely to work,Under investigation - not likely to work,Under investigation-could work,Treats a symptom,Investigated and works"</formula1>
      <formula2>0</formula2>
    </dataValidation>
    <dataValidation allowBlank="true" errorStyle="stop" operator="equal" showDropDown="false" showErrorMessage="true" showInputMessage="true" sqref="F3:F11" type="list">
      <formula1>"Investigated-Does not work,Not under investigation - may work,Not under investigation - not likely to work,Under investigation - not likely to work,Under investigation-could work,Treats a symptom,Investigated and works"</formula1>
      <formula2>0</formula2>
    </dataValidation>
    <dataValidation allowBlank="true" errorStyle="stop" operator="between" showDropDown="false" showErrorMessage="true" showInputMessage="false" sqref="E2:E11" type="list">
      <formula1>"investigated-Does not work,Not under investigation - not likely to work,Not under investigation - may work,Under investigation - not likely to work,Under investigation-could work,Treats a symptom,Investigated and works"</formula1>
      <formula2>0</formula2>
    </dataValidation>
  </dataValidation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2109375" defaultRowHeight="15" zeroHeight="false" outlineLevelRow="0" outlineLevelCol="0"/>
  <cols>
    <col collapsed="false" customWidth="false" hidden="false" outlineLevel="0" max="1" min="1" style="1" width="7.62"/>
    <col collapsed="false" customWidth="true" hidden="false" outlineLevel="0" max="2" min="2" style="1" width="15.12"/>
    <col collapsed="false" customWidth="true" hidden="false" outlineLevel="0" max="3" min="3" style="1" width="14.76"/>
    <col collapsed="false" customWidth="true" hidden="false" outlineLevel="0" max="4" min="4" style="1" width="16.43"/>
    <col collapsed="false" customWidth="true" hidden="false" outlineLevel="0" max="5" min="5" style="1" width="16.67"/>
    <col collapsed="false" customWidth="true" hidden="false" outlineLevel="0" max="6" min="6" style="1" width="19.76"/>
    <col collapsed="false" customWidth="true" hidden="false" outlineLevel="0" max="7" min="7" style="1" width="66.31"/>
    <col collapsed="false" customWidth="false" hidden="false" outlineLevel="0" max="16384" min="8" style="1" width="7.62"/>
  </cols>
  <sheetData>
    <row r="1" customFormat="false" ht="15" hidden="false" customHeight="false" outlineLevel="0" collapsed="false">
      <c r="A1" s="9" t="s">
        <v>47</v>
      </c>
      <c r="B1" s="9" t="s">
        <v>1</v>
      </c>
      <c r="C1" s="9" t="s">
        <v>2</v>
      </c>
      <c r="D1" s="9" t="s">
        <v>75</v>
      </c>
      <c r="E1" s="4" t="s">
        <v>4</v>
      </c>
      <c r="F1" s="4" t="s">
        <v>5</v>
      </c>
      <c r="G1" s="4" t="s">
        <v>6</v>
      </c>
    </row>
    <row r="2" customFormat="false" ht="15" hidden="false" customHeight="false" outlineLevel="0" collapsed="false">
      <c r="A2" s="9" t="n">
        <v>1</v>
      </c>
      <c r="B2" s="9" t="s">
        <v>202</v>
      </c>
      <c r="C2" s="3" t="s">
        <v>203</v>
      </c>
      <c r="D2" s="9" t="s">
        <v>204</v>
      </c>
      <c r="E2" s="6" t="s">
        <v>22</v>
      </c>
      <c r="F2" s="6"/>
    </row>
    <row r="3" customFormat="false" ht="15" hidden="false" customHeight="false" outlineLevel="0" collapsed="false">
      <c r="A3" s="9" t="n">
        <v>2</v>
      </c>
      <c r="B3" s="9" t="s">
        <v>205</v>
      </c>
      <c r="C3" s="3" t="s">
        <v>203</v>
      </c>
      <c r="D3" s="9" t="s">
        <v>206</v>
      </c>
      <c r="E3" s="6" t="s">
        <v>22</v>
      </c>
      <c r="F3" s="6"/>
    </row>
    <row r="4" customFormat="false" ht="15" hidden="false" customHeight="false" outlineLevel="0" collapsed="false">
      <c r="A4" s="9" t="n">
        <v>3</v>
      </c>
      <c r="B4" s="9" t="s">
        <v>207</v>
      </c>
      <c r="C4" s="3" t="s">
        <v>208</v>
      </c>
      <c r="D4" s="9" t="s">
        <v>209</v>
      </c>
      <c r="E4" s="6" t="s">
        <v>22</v>
      </c>
      <c r="F4" s="6"/>
    </row>
    <row r="5" customFormat="false" ht="15" hidden="false" customHeight="false" outlineLevel="0" collapsed="false">
      <c r="A5" s="9" t="n">
        <v>4</v>
      </c>
      <c r="B5" s="9" t="s">
        <v>40</v>
      </c>
      <c r="C5" s="3" t="s">
        <v>210</v>
      </c>
      <c r="D5" s="9" t="s">
        <v>42</v>
      </c>
      <c r="E5" s="6" t="s">
        <v>22</v>
      </c>
      <c r="F5" s="6"/>
    </row>
    <row r="6" customFormat="false" ht="15" hidden="false" customHeight="false" outlineLevel="0" collapsed="false">
      <c r="A6" s="9" t="n">
        <v>5</v>
      </c>
      <c r="B6" s="9" t="s">
        <v>211</v>
      </c>
      <c r="C6" s="3" t="s">
        <v>212</v>
      </c>
      <c r="D6" s="9" t="s">
        <v>213</v>
      </c>
      <c r="E6" s="6" t="s">
        <v>22</v>
      </c>
      <c r="F6" s="6"/>
      <c r="G6" s="1" t="s">
        <v>214</v>
      </c>
    </row>
    <row r="7" customFormat="false" ht="15" hidden="false" customHeight="false" outlineLevel="0" collapsed="false">
      <c r="A7" s="9" t="n">
        <v>6</v>
      </c>
      <c r="B7" s="9" t="s">
        <v>215</v>
      </c>
      <c r="C7" s="3" t="s">
        <v>216</v>
      </c>
      <c r="D7" s="9" t="s">
        <v>217</v>
      </c>
      <c r="E7" s="6" t="s">
        <v>22</v>
      </c>
      <c r="F7" s="6"/>
    </row>
    <row r="8" customFormat="false" ht="15" hidden="false" customHeight="false" outlineLevel="0" collapsed="false">
      <c r="A8" s="9" t="n">
        <v>7</v>
      </c>
      <c r="B8" s="9" t="s">
        <v>218</v>
      </c>
      <c r="C8" s="3" t="s">
        <v>219</v>
      </c>
      <c r="D8" s="9" t="s">
        <v>220</v>
      </c>
      <c r="E8" s="6" t="s">
        <v>22</v>
      </c>
      <c r="F8" s="6"/>
    </row>
    <row r="9" customFormat="false" ht="15" hidden="false" customHeight="false" outlineLevel="0" collapsed="false">
      <c r="A9" s="9" t="n">
        <v>8</v>
      </c>
      <c r="B9" s="9" t="s">
        <v>221</v>
      </c>
      <c r="C9" s="3" t="s">
        <v>222</v>
      </c>
      <c r="D9" s="9" t="s">
        <v>223</v>
      </c>
      <c r="E9" s="6" t="s">
        <v>27</v>
      </c>
      <c r="F9" s="6"/>
      <c r="G9" s="1" t="s">
        <v>224</v>
      </c>
    </row>
    <row r="10" customFormat="false" ht="15" hidden="false" customHeight="false" outlineLevel="0" collapsed="false">
      <c r="A10" s="9" t="n">
        <v>9</v>
      </c>
      <c r="B10" s="9" t="s">
        <v>225</v>
      </c>
      <c r="C10" s="3" t="s">
        <v>226</v>
      </c>
      <c r="D10" s="9" t="s">
        <v>227</v>
      </c>
      <c r="E10" s="6" t="s">
        <v>22</v>
      </c>
      <c r="F10" s="6"/>
    </row>
    <row r="11" customFormat="false" ht="15" hidden="false" customHeight="false" outlineLevel="0" collapsed="false">
      <c r="A11" s="9" t="n">
        <v>10</v>
      </c>
      <c r="B11" s="9" t="s">
        <v>228</v>
      </c>
      <c r="C11" s="3" t="s">
        <v>229</v>
      </c>
      <c r="D11" s="9" t="s">
        <v>230</v>
      </c>
      <c r="E11" s="6" t="s">
        <v>22</v>
      </c>
      <c r="F11" s="6"/>
    </row>
    <row r="14" customFormat="false" ht="15" hidden="false" customHeight="false" outlineLevel="0" collapsed="false">
      <c r="A14" s="4" t="s">
        <v>46</v>
      </c>
    </row>
  </sheetData>
  <dataValidations count="1">
    <dataValidation allowBlank="true" errorStyle="stop" operator="equal" showDropDown="false" showErrorMessage="true" showInputMessage="true" sqref="E2:F11" type="list">
      <formula1>"Investigated-Does not work,Not under investigation - may work,Not under investigation - not likely to work,Under investigation - not likely to work,Under investigation-could work,Treats a symptom,Investigated and works"</formula1>
      <formula2>0</formula2>
    </dataValidation>
  </dataValidation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35.21"/>
    <col collapsed="false" customWidth="true" hidden="false" outlineLevel="0" max="2" min="2" style="1" width="14.43"/>
    <col collapsed="false" customWidth="true" hidden="false" outlineLevel="0" max="3" min="3" style="1" width="20.89"/>
  </cols>
  <sheetData>
    <row r="1" customFormat="false" ht="13.8" hidden="false" customHeight="false" outlineLevel="0" collapsed="false"/>
    <row r="2" customFormat="false" ht="13.8" hidden="false" customHeight="false" outlineLevel="0" collapsed="false">
      <c r="A2" s="10" t="s">
        <v>231</v>
      </c>
      <c r="B2" s="10" t="s">
        <v>232</v>
      </c>
      <c r="C2" s="10" t="s">
        <v>233</v>
      </c>
    </row>
    <row r="3" customFormat="false" ht="13.8" hidden="false" customHeight="false" outlineLevel="0" collapsed="false">
      <c r="A3" s="11" t="s">
        <v>35</v>
      </c>
      <c r="B3" s="11" t="n">
        <f aca="false">COUNTIF(ZELLWEGER!$E$2:$F$11,A3)+COUNTIF(PDE!$E$2:$F$11,A3)+COUNTIF(PMM2!$E$2:$F$11,A3)+COUNTIF(CMS!$E$2:$F$11,A3)+COUNTIF(DM1!$E$2:$F$11,A3)+COUNTIF(SCA3!$E$2:$F$11,A3)+COUNTIF(CNT!$E$2:$F$11,A3)</f>
        <v>14</v>
      </c>
      <c r="C3" s="12" t="n">
        <f aca="false">(B3/$B$11)</f>
        <v>0.2</v>
      </c>
    </row>
    <row r="4" customFormat="false" ht="13.8" hidden="false" customHeight="false" outlineLevel="0" collapsed="false">
      <c r="A4" s="11" t="s">
        <v>51</v>
      </c>
      <c r="B4" s="11" t="n">
        <f aca="false">COUNTIF(ZELLWEGER!$E$2:$F$11,A4)+COUNTIF(PDE!$E$2:$F$11,A4)+COUNTIF(PMM2!$E$2:$F$11,A4)+COUNTIF(CMS!$E$2:$F$11,A4)+COUNTIF(DM1!$E$2:$F$11,A4)+COUNTIF(SCA3!$E$2:$F$11,A4)+COUNTIF(CNT!$E$2:$F$11,A4)</f>
        <v>4</v>
      </c>
      <c r="C4" s="12" t="n">
        <f aca="false">(B4/$B$11)</f>
        <v>0.0571428571428571</v>
      </c>
    </row>
    <row r="5" customFormat="false" ht="13.8" hidden="false" customHeight="false" outlineLevel="0" collapsed="false">
      <c r="A5" s="13" t="s">
        <v>193</v>
      </c>
      <c r="B5" s="13" t="n">
        <f aca="false">COUNTIF(ZELLWEGER!$E$2:$F$11,A5)+COUNTIF(PDE!$E$2:$F$11,A5)+COUNTIF(PMM2!$E$2:$F$11,A5)+COUNTIF(CMS!$E$2:$F$11,A5)+COUNTIF(DM1!$E$2:$F$11,A5)+COUNTIF(SCA3!$E$2:$F$11,A5)+COUNTIF(CNT!$E$2:$F$11,A5)</f>
        <v>2</v>
      </c>
      <c r="C5" s="14" t="n">
        <f aca="false">(B5/$B$11)</f>
        <v>0.0285714285714286</v>
      </c>
    </row>
    <row r="6" customFormat="false" ht="13.8" hidden="false" customHeight="false" outlineLevel="0" collapsed="false">
      <c r="A6" s="15" t="s">
        <v>56</v>
      </c>
      <c r="B6" s="15" t="n">
        <f aca="false">COUNTIF(ZELLWEGER!$E$2:$F$11,A6)+COUNTIF(PDE!$E$2:$F$11,A6)+COUNTIF(PMM2!$E$2:$F$11,A6)+COUNTIF(CMS!$E$2:$F$11,A6)+COUNTIF(DM1!$E$2:$F$11,A6)+COUNTIF(SCA3!$E$2:$F$11,A6)+COUNTIF(CNT!$E$2:$F$11,A6)</f>
        <v>13</v>
      </c>
      <c r="C6" s="16" t="n">
        <f aca="false">(B6/$B$11)</f>
        <v>0.185714285714286</v>
      </c>
    </row>
    <row r="7" customFormat="false" ht="13.8" hidden="false" customHeight="false" outlineLevel="0" collapsed="false">
      <c r="A7" s="15" t="s">
        <v>22</v>
      </c>
      <c r="B7" s="15" t="n">
        <f aca="false">COUNTIF(ZELLWEGER!$E$2:$F$11,A7)+COUNTIF(PDE!$E$2:$F$11,A7)+COUNTIF(PMM2!$E$2:$F$11,A7)+COUNTIF(CMS!$E$2:$F$11,A7)+COUNTIF(DM1!$E$2:$F$11,A7)+COUNTIF(SCA3!$E$2:$F$11,A7)+COUNTIF(CNT!$E$2:$F$11,A7)</f>
        <v>9</v>
      </c>
      <c r="C7" s="16" t="n">
        <f aca="false">(B7/$B$11)</f>
        <v>0.128571428571429</v>
      </c>
    </row>
    <row r="8" customFormat="false" ht="13.8" hidden="false" customHeight="false" outlineLevel="0" collapsed="false">
      <c r="A8" s="15" t="s">
        <v>27</v>
      </c>
      <c r="B8" s="15" t="n">
        <f aca="false">COUNTIF(ZELLWEGER!$E$2:$F$11,A8)+COUNTIF(PDE!$E$2:$F$11,A8)+COUNTIF(PMM2!$E$2:$F$11,A8)+COUNTIF(CMS!$E$2:$F$11,A8)+COUNTIF(DM1!$E$2:$F$11,A8)+COUNTIF(SCA3!$E$2:$F$11,A8)+COUNTIF(CNT!$E$2:$F$11,A8)</f>
        <v>2</v>
      </c>
      <c r="C8" s="16" t="n">
        <f aca="false">(B8/$B$11)</f>
        <v>0.0285714285714286</v>
      </c>
    </row>
    <row r="9" customFormat="false" ht="13.8" hidden="false" customHeight="false" outlineLevel="0" collapsed="false">
      <c r="A9" s="17" t="s">
        <v>10</v>
      </c>
      <c r="B9" s="17" t="n">
        <f aca="false">COUNTIF(ZELLWEGER!$E$2:$F$11,A9)+COUNTIF(PDE!$E$2:$F$11,A9)+COUNTIF(PMM2!$E$2:$F$11,A9)+COUNTIF(CMS!$E$2:$F$11,A9)+COUNTIF(DM1!$E$2:$F$11,A9)+COUNTIF(SCA3!$E$2:$F$11,A9)+COUNTIF(CNT!$E$2:$F$11,A9)</f>
        <v>14</v>
      </c>
      <c r="C9" s="18" t="n">
        <f aca="false">(B9/$B$11)</f>
        <v>0.2</v>
      </c>
    </row>
    <row r="10" customFormat="false" ht="13.8" hidden="false" customHeight="false" outlineLevel="0" collapsed="false">
      <c r="A10" s="6" t="s">
        <v>15</v>
      </c>
      <c r="B10" s="6" t="n">
        <f aca="false">COUNTIF(ZELLWEGER!$E$2:$F$11,A10)+COUNTIF(PDE!$E$2:$F$11,A10)+COUNTIF(PMM2!$E$2:$F$11,A10)+COUNTIF(CMS!$E$2:$F$11,A10)+COUNTIF(DM1!$E$2:$F$11,A10)+COUNTIF(SCA3!$E$2:$F$11,A10)+COUNTIF(CNT!$E$2:$F$11,A10)</f>
        <v>12</v>
      </c>
      <c r="C10" s="19" t="n">
        <f aca="false">(B10/$B$11)</f>
        <v>0.171428571428571</v>
      </c>
    </row>
    <row r="11" customFormat="false" ht="13.8" hidden="false" customHeight="false" outlineLevel="0" collapsed="false">
      <c r="A11" s="10" t="s">
        <v>234</v>
      </c>
      <c r="B11" s="1" t="n">
        <f aca="false">SUM(B3:B10)</f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2025-09-22T14:35:24Z</dcterms:created>
  <dc:creator/>
  <dc:description/>
  <dc:language>en-US</dc:language>
  <cp:lastModifiedBy/>
  <dcterms:modified xsi:type="dcterms:W3CDTF">2025-11-21T16:00:49Z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0x01010054ED536958978C47BC545CC9F52E9E99</vt:lpwstr>
  </property>
  <property fmtid="{D5CDD505-2E9C-101B-9397-08002B2CF9AE}" pid="3" name="MediaServiceImageTags">
    <vt:lpwstr/>
  </property>
</Properties>
</file>